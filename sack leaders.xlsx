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leyburk/Documents/Portfolio/"/>
    </mc:Choice>
  </mc:AlternateContent>
  <xr:revisionPtr revIDLastSave="0" documentId="13_ncr:1_{9178F992-7818-A049-A6ED-37AD08E5E712}" xr6:coauthVersionLast="47" xr6:coauthVersionMax="47" xr10:uidLastSave="{00000000-0000-0000-0000-000000000000}"/>
  <bookViews>
    <workbookView xWindow="8880" yWindow="3420" windowWidth="19300" windowHeight="13100" xr2:uid="{03B859DC-FE1D-B841-9399-C00906868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C44" i="1"/>
  <c r="C41" i="1"/>
  <c r="C38" i="1"/>
  <c r="C35" i="1"/>
  <c r="C32" i="1"/>
  <c r="C29" i="1"/>
  <c r="C26" i="1"/>
  <c r="C23" i="1"/>
  <c r="C20" i="1"/>
  <c r="C5" i="1"/>
  <c r="C2" i="1"/>
</calcChain>
</file>

<file path=xl/sharedStrings.xml><?xml version="1.0" encoding="utf-8"?>
<sst xmlns="http://schemas.openxmlformats.org/spreadsheetml/2006/main" count="54" uniqueCount="9">
  <si>
    <t>Player</t>
  </si>
  <si>
    <t>Myles Garrett (2025, 23.0)</t>
  </si>
  <si>
    <t>Michael Strahan (2001, 22.5)</t>
  </si>
  <si>
    <t>T.J. Watt (2021, 22.5)</t>
  </si>
  <si>
    <t>Game</t>
  </si>
  <si>
    <t>Player's Game Sack Rate</t>
  </si>
  <si>
    <t>Opponents' Season Sack Rate</t>
  </si>
  <si>
    <t>Opponents' Offensive Ranking by PPG (The Football Database)</t>
  </si>
  <si>
    <t>Season Average Time to Throw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</si>
</sst>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5">
    <dxf>
      <numFmt numFmtId="165" formatCode="0.000"/>
    </dxf>
    <dxf>
      <numFmt numFmtId="2" formatCode="0.00"/>
    </dxf>
    <dxf>
      <numFmt numFmtId="0" formatCode="General"/>
    </dxf>
    <dxf>
      <numFmt numFmtId="165" formatCode="0.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540DC-6CC3-4342-B41B-B65353A09A3A}" name="Table1" displayName="Table1" ref="A1:F49" totalsRowShown="0">
  <autoFilter ref="A1:F49" xr:uid="{086540DC-6CC3-4342-B41B-B65353A09A3A}">
    <filterColumn colId="0">
      <filters>
        <filter val="Myles Garrett (2025, 23.0)"/>
      </filters>
    </filterColumn>
  </autoFilter>
  <tableColumns count="6">
    <tableColumn id="1" xr3:uid="{39555D18-61DD-2F41-8E6D-C1C15F73D670}" name="Player"/>
    <tableColumn id="2" xr3:uid="{B965F3D2-291F-A842-9807-7697C0D82617}" name="Game" dataDxfId="4"/>
    <tableColumn id="3" xr3:uid="{DCD53DE4-C8B6-2440-BC09-1187D77A3012}" name="Player's Game Sack Rate" dataDxfId="3"/>
    <tableColumn id="4" xr3:uid="{8906462B-5965-6146-9FA8-D6FF1CAC4EBC}" name="Opponents' Offensive Ranking by PPG (The Football Database)" dataDxfId="2"/>
    <tableColumn id="5" xr3:uid="{5A1B1CCE-0583-A342-8588-BC83542F3C30}" name="Season Average Time to Throw" dataDxfId="1"/>
    <tableColumn id="6" xr3:uid="{091F964B-7F21-F842-8569-B9346E9F9C33}" name="Opponents' Season Sack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1956-48B5-5647-A9D3-CFEEAD4D6C62}">
  <dimension ref="A1:R62"/>
  <sheetViews>
    <sheetView tabSelected="1" workbookViewId="0">
      <selection activeCell="D20" sqref="D20"/>
    </sheetView>
  </sheetViews>
  <sheetFormatPr baseColWidth="10" defaultRowHeight="16" x14ac:dyDescent="0.2"/>
  <cols>
    <col min="1" max="1" width="26" customWidth="1"/>
    <col min="2" max="2" width="18.83203125" customWidth="1"/>
    <col min="3" max="3" width="23.83203125" customWidth="1"/>
    <col min="4" max="4" width="54.1640625" customWidth="1"/>
    <col min="5" max="5" width="28" style="4" customWidth="1"/>
    <col min="6" max="6" width="27.6640625" style="3" customWidth="1"/>
    <col min="19" max="19" width="26.33203125" customWidth="1"/>
    <col min="20" max="20" width="21.1640625" customWidth="1"/>
  </cols>
  <sheetData>
    <row r="1" spans="1:18" x14ac:dyDescent="0.2">
      <c r="A1" t="s">
        <v>0</v>
      </c>
      <c r="B1" t="s">
        <v>4</v>
      </c>
      <c r="C1" t="s">
        <v>5</v>
      </c>
      <c r="D1" t="s">
        <v>7</v>
      </c>
      <c r="E1" s="4" t="s">
        <v>8</v>
      </c>
      <c r="F1" s="3" t="s">
        <v>6</v>
      </c>
    </row>
    <row r="2" spans="1:18" x14ac:dyDescent="0.2">
      <c r="A2" t="s">
        <v>1</v>
      </c>
      <c r="B2" s="2">
        <v>1</v>
      </c>
      <c r="C2" s="3">
        <f>2/26</f>
        <v>7.6923076923076927E-2</v>
      </c>
      <c r="D2">
        <v>12</v>
      </c>
      <c r="E2" s="4">
        <v>2.8</v>
      </c>
      <c r="F2" s="3">
        <v>5.2999999999999999E-2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idden="1" x14ac:dyDescent="0.2">
      <c r="A3" t="s">
        <v>2</v>
      </c>
      <c r="B3" s="2">
        <v>1</v>
      </c>
      <c r="C3" s="3">
        <v>0</v>
      </c>
      <c r="D3">
        <v>10</v>
      </c>
      <c r="F3" s="3">
        <v>7.5999999999999998E-2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idden="1" x14ac:dyDescent="0.2">
      <c r="A4" t="s">
        <v>3</v>
      </c>
      <c r="B4" s="2">
        <v>1</v>
      </c>
      <c r="C4" s="3">
        <v>3.6999999999999998E-2</v>
      </c>
      <c r="D4">
        <v>3</v>
      </c>
      <c r="E4" s="4">
        <v>2.9</v>
      </c>
      <c r="F4" s="3">
        <v>0.04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t="s">
        <v>1</v>
      </c>
      <c r="B5" s="2">
        <v>2</v>
      </c>
      <c r="C5" s="3">
        <f>1.5/32</f>
        <v>4.6875E-2</v>
      </c>
      <c r="D5">
        <v>11</v>
      </c>
      <c r="E5" s="4">
        <v>3.01</v>
      </c>
      <c r="F5" s="3">
        <v>9.6000000000000002E-2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idden="1" x14ac:dyDescent="0.2">
      <c r="A6" t="s">
        <v>2</v>
      </c>
      <c r="B6" s="2">
        <v>2</v>
      </c>
      <c r="C6" s="3">
        <v>0</v>
      </c>
      <c r="D6">
        <v>14</v>
      </c>
      <c r="F6" s="3">
        <v>6.9000000000000006E-2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idden="1" x14ac:dyDescent="0.2">
      <c r="A7" t="s">
        <v>3</v>
      </c>
      <c r="B7" s="2">
        <v>2</v>
      </c>
      <c r="C7" s="3">
        <v>2.5999999999999999E-2</v>
      </c>
      <c r="D7">
        <v>18</v>
      </c>
      <c r="E7" s="4">
        <v>2.82</v>
      </c>
      <c r="F7" s="3">
        <v>0.06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t="s">
        <v>1</v>
      </c>
      <c r="B8" s="2">
        <v>3</v>
      </c>
      <c r="C8" s="3">
        <v>5.0999999999999997E-2</v>
      </c>
      <c r="D8">
        <v>16</v>
      </c>
      <c r="E8" s="4">
        <v>2.89</v>
      </c>
      <c r="F8" s="3">
        <v>5.6000000000000001E-2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idden="1" x14ac:dyDescent="0.2">
      <c r="A9" t="s">
        <v>2</v>
      </c>
      <c r="B9" s="2">
        <v>3</v>
      </c>
      <c r="C9" s="3">
        <v>5.1999999999999998E-2</v>
      </c>
      <c r="D9">
        <v>12</v>
      </c>
      <c r="F9" s="3">
        <v>8.2000000000000003E-2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idden="1" x14ac:dyDescent="0.2">
      <c r="A10" t="s">
        <v>3</v>
      </c>
      <c r="B10" s="2">
        <v>3</v>
      </c>
      <c r="C10" s="3">
        <v>5.0999999999999997E-2</v>
      </c>
      <c r="D10">
        <v>10</v>
      </c>
      <c r="E10" s="4">
        <v>2.63</v>
      </c>
      <c r="F10" s="3">
        <v>5.2999999999999999E-2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t="s">
        <v>1</v>
      </c>
      <c r="B11" s="2">
        <v>4</v>
      </c>
      <c r="C11" s="3">
        <v>0</v>
      </c>
      <c r="D11">
        <v>5</v>
      </c>
      <c r="E11" s="4">
        <v>2.7</v>
      </c>
      <c r="F11" s="3">
        <v>6.3E-2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idden="1" x14ac:dyDescent="0.2">
      <c r="A12" t="s">
        <v>2</v>
      </c>
      <c r="B12" s="2">
        <v>4</v>
      </c>
      <c r="C12" s="3">
        <v>4.2999999999999997E-2</v>
      </c>
      <c r="D12">
        <v>29</v>
      </c>
      <c r="F12" s="3">
        <v>8.1000000000000003E-2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idden="1" x14ac:dyDescent="0.2">
      <c r="A13" t="s">
        <v>3</v>
      </c>
      <c r="B13" s="2">
        <v>4</v>
      </c>
      <c r="C13" s="3">
        <v>0</v>
      </c>
      <c r="D13">
        <v>23</v>
      </c>
      <c r="E13" s="4">
        <v>2.91</v>
      </c>
      <c r="F13" s="3">
        <v>6.9000000000000006E-2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t="s">
        <v>1</v>
      </c>
      <c r="B14" s="2">
        <v>5</v>
      </c>
      <c r="C14" s="3">
        <v>0</v>
      </c>
      <c r="D14">
        <v>26</v>
      </c>
      <c r="E14" s="4">
        <v>2.71</v>
      </c>
      <c r="F14" s="3">
        <v>0.11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idden="1" x14ac:dyDescent="0.2">
      <c r="A15" t="s">
        <v>2</v>
      </c>
      <c r="B15" s="2">
        <v>5</v>
      </c>
      <c r="C15" s="3">
        <v>0.114</v>
      </c>
      <c r="D15">
        <v>1</v>
      </c>
      <c r="F15" s="3">
        <v>6.8000000000000005E-2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idden="1" x14ac:dyDescent="0.2">
      <c r="A16" t="s">
        <v>3</v>
      </c>
      <c r="B16" s="2">
        <v>5</v>
      </c>
      <c r="C16" s="3">
        <v>5.3999999999999999E-2</v>
      </c>
      <c r="D16">
        <v>16</v>
      </c>
      <c r="E16" s="4">
        <v>2.8</v>
      </c>
      <c r="F16" s="3">
        <v>8.5000000000000006E-2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t="s">
        <v>1</v>
      </c>
      <c r="B17" s="2">
        <v>6</v>
      </c>
      <c r="C17" s="3">
        <v>0</v>
      </c>
      <c r="D17">
        <v>15</v>
      </c>
      <c r="E17" s="4">
        <v>2.59</v>
      </c>
      <c r="F17" s="3">
        <v>5.2999999999999999E-2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idden="1" x14ac:dyDescent="0.2">
      <c r="A18" t="s">
        <v>2</v>
      </c>
      <c r="B18" s="2">
        <v>6</v>
      </c>
      <c r="C18" s="3">
        <v>6.7000000000000004E-2</v>
      </c>
      <c r="D18">
        <v>9</v>
      </c>
      <c r="F18" s="3">
        <v>7.0999999999999994E-2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idden="1" x14ac:dyDescent="0.2">
      <c r="A19" t="s">
        <v>3</v>
      </c>
      <c r="B19" s="2">
        <v>6</v>
      </c>
      <c r="C19" s="3">
        <v>4.2999999999999997E-2</v>
      </c>
      <c r="D19">
        <v>20</v>
      </c>
      <c r="E19" s="4">
        <v>2.82</v>
      </c>
      <c r="F19" s="3">
        <v>8.5999999999999993E-2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t="s">
        <v>1</v>
      </c>
      <c r="B20" s="2">
        <v>7</v>
      </c>
      <c r="C20" s="3">
        <f>1/35</f>
        <v>2.8571428571428571E-2</v>
      </c>
      <c r="D20">
        <v>25</v>
      </c>
      <c r="E20" s="4">
        <v>2.65</v>
      </c>
      <c r="F20" s="3">
        <v>7.3999999999999996E-2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idden="1" x14ac:dyDescent="0.2">
      <c r="A21" t="s">
        <v>2</v>
      </c>
      <c r="B21" s="2">
        <v>7</v>
      </c>
      <c r="C21" s="3">
        <v>8.3000000000000004E-2</v>
      </c>
      <c r="D21">
        <v>29</v>
      </c>
      <c r="F21" s="3">
        <v>8.1000000000000003E-2</v>
      </c>
    </row>
    <row r="22" spans="1:18" hidden="1" x14ac:dyDescent="0.2">
      <c r="A22" t="s">
        <v>3</v>
      </c>
      <c r="B22" s="2">
        <v>7</v>
      </c>
      <c r="C22" s="3">
        <v>9.4E-2</v>
      </c>
      <c r="D22">
        <v>27</v>
      </c>
      <c r="E22" s="4">
        <v>2.91</v>
      </c>
      <c r="F22" s="3">
        <v>9.7000000000000003E-2</v>
      </c>
    </row>
    <row r="23" spans="1:18" x14ac:dyDescent="0.2">
      <c r="A23" t="s">
        <v>1</v>
      </c>
      <c r="B23" s="2">
        <v>8</v>
      </c>
      <c r="C23" s="3">
        <f>5/30</f>
        <v>0.16666666666666666</v>
      </c>
      <c r="D23">
        <v>2</v>
      </c>
      <c r="E23" s="4">
        <v>2.97</v>
      </c>
      <c r="F23" s="3">
        <v>8.6999999999999994E-2</v>
      </c>
    </row>
    <row r="24" spans="1:18" hidden="1" x14ac:dyDescent="0.2">
      <c r="A24" t="s">
        <v>2</v>
      </c>
      <c r="B24" s="2">
        <v>8</v>
      </c>
      <c r="C24" s="3">
        <v>4.2999999999999997E-2</v>
      </c>
      <c r="D24">
        <v>31</v>
      </c>
      <c r="F24" s="3">
        <v>7.5999999999999998E-2</v>
      </c>
    </row>
    <row r="25" spans="1:18" hidden="1" x14ac:dyDescent="0.2">
      <c r="A25" t="s">
        <v>3</v>
      </c>
      <c r="B25" s="2">
        <v>8</v>
      </c>
      <c r="C25" s="3">
        <v>3.4000000000000002E-2</v>
      </c>
      <c r="D25">
        <v>25</v>
      </c>
      <c r="E25" s="4">
        <v>2.77</v>
      </c>
      <c r="F25" s="3">
        <v>5.7000000000000002E-2</v>
      </c>
    </row>
    <row r="26" spans="1:18" x14ac:dyDescent="0.2">
      <c r="A26" t="s">
        <v>1</v>
      </c>
      <c r="B26" s="2">
        <v>9</v>
      </c>
      <c r="C26" s="3">
        <f>1/14</f>
        <v>7.1428571428571425E-2</v>
      </c>
      <c r="D26">
        <v>29</v>
      </c>
      <c r="E26" s="4">
        <v>2.93</v>
      </c>
      <c r="F26" s="3">
        <v>0.108</v>
      </c>
    </row>
    <row r="27" spans="1:18" hidden="1" x14ac:dyDescent="0.2">
      <c r="A27" t="s">
        <v>2</v>
      </c>
      <c r="B27" s="2">
        <v>9</v>
      </c>
      <c r="C27" s="3">
        <v>3.5999999999999997E-2</v>
      </c>
      <c r="D27">
        <v>21</v>
      </c>
      <c r="F27" s="3">
        <v>5.1999999999999998E-2</v>
      </c>
    </row>
    <row r="28" spans="1:18" hidden="1" x14ac:dyDescent="0.2">
      <c r="A28" t="s">
        <v>3</v>
      </c>
      <c r="B28" s="2">
        <v>9</v>
      </c>
      <c r="C28" s="3">
        <v>0</v>
      </c>
      <c r="D28">
        <v>7</v>
      </c>
      <c r="E28" s="4">
        <v>2.69</v>
      </c>
      <c r="F28" s="3">
        <v>0.09</v>
      </c>
    </row>
    <row r="29" spans="1:18" x14ac:dyDescent="0.2">
      <c r="A29" t="s">
        <v>1</v>
      </c>
      <c r="B29" s="2">
        <v>10</v>
      </c>
      <c r="C29" s="3">
        <f>4/30</f>
        <v>0.13333333333333333</v>
      </c>
      <c r="D29">
        <v>11</v>
      </c>
      <c r="E29" s="4">
        <v>3.01</v>
      </c>
      <c r="F29" s="3">
        <v>9.6000000000000002E-2</v>
      </c>
    </row>
    <row r="30" spans="1:18" hidden="1" x14ac:dyDescent="0.2">
      <c r="A30" t="s">
        <v>2</v>
      </c>
      <c r="B30" s="2">
        <v>10</v>
      </c>
      <c r="C30" s="3">
        <v>0</v>
      </c>
      <c r="D30">
        <v>25</v>
      </c>
      <c r="F30" s="3">
        <v>7.8E-2</v>
      </c>
    </row>
    <row r="31" spans="1:18" hidden="1" x14ac:dyDescent="0.2">
      <c r="A31" t="s">
        <v>3</v>
      </c>
      <c r="B31" s="2">
        <v>10</v>
      </c>
      <c r="C31" s="3">
        <v>0.08</v>
      </c>
      <c r="D31">
        <v>17</v>
      </c>
      <c r="E31" s="4">
        <v>2.96</v>
      </c>
      <c r="F31" s="3">
        <v>8.5000000000000006E-2</v>
      </c>
    </row>
    <row r="32" spans="1:18" x14ac:dyDescent="0.2">
      <c r="A32" t="s">
        <v>1</v>
      </c>
      <c r="B32" s="2">
        <v>11</v>
      </c>
      <c r="C32" s="3">
        <f>3/54</f>
        <v>5.5555555555555552E-2</v>
      </c>
      <c r="D32">
        <v>32</v>
      </c>
      <c r="E32" s="4">
        <v>2.8</v>
      </c>
      <c r="F32" s="3">
        <v>0.111</v>
      </c>
    </row>
    <row r="33" spans="1:6" hidden="1" x14ac:dyDescent="0.2">
      <c r="A33" t="s">
        <v>2</v>
      </c>
      <c r="B33" s="2">
        <v>11</v>
      </c>
      <c r="C33" s="3">
        <v>2.4E-2</v>
      </c>
      <c r="D33">
        <v>4</v>
      </c>
      <c r="F33" s="3">
        <v>4.7E-2</v>
      </c>
    </row>
    <row r="34" spans="1:6" hidden="1" x14ac:dyDescent="0.2">
      <c r="A34" t="s">
        <v>3</v>
      </c>
      <c r="B34" s="2">
        <v>11</v>
      </c>
      <c r="C34" s="3">
        <v>0</v>
      </c>
      <c r="D34">
        <v>14</v>
      </c>
      <c r="E34" s="4">
        <v>2.76</v>
      </c>
      <c r="F34" s="3">
        <v>4.7E-2</v>
      </c>
    </row>
    <row r="35" spans="1:6" x14ac:dyDescent="0.2">
      <c r="A35" t="s">
        <v>1</v>
      </c>
      <c r="B35" s="2">
        <v>12</v>
      </c>
      <c r="C35" s="3">
        <f>1/31</f>
        <v>3.2258064516129031E-2</v>
      </c>
      <c r="D35">
        <v>10</v>
      </c>
      <c r="E35" s="4">
        <v>3.17</v>
      </c>
      <c r="F35" s="3">
        <v>4.4999999999999998E-2</v>
      </c>
    </row>
    <row r="36" spans="1:6" hidden="1" x14ac:dyDescent="0.2">
      <c r="A36" t="s">
        <v>2</v>
      </c>
      <c r="B36" s="2">
        <v>12</v>
      </c>
      <c r="C36" s="3">
        <v>3.5999999999999997E-2</v>
      </c>
      <c r="D36">
        <v>31</v>
      </c>
      <c r="F36" s="3">
        <v>7.5999999999999998E-2</v>
      </c>
    </row>
    <row r="37" spans="1:6" hidden="1" x14ac:dyDescent="0.2">
      <c r="A37" t="s">
        <v>3</v>
      </c>
      <c r="B37" s="2">
        <v>12</v>
      </c>
      <c r="C37" s="3">
        <v>4.2000000000000003E-2</v>
      </c>
      <c r="D37">
        <v>15</v>
      </c>
      <c r="E37" s="4">
        <v>2.68</v>
      </c>
      <c r="F37" s="3">
        <v>8.1000000000000003E-2</v>
      </c>
    </row>
    <row r="38" spans="1:6" x14ac:dyDescent="0.2">
      <c r="A38" t="s">
        <v>1</v>
      </c>
      <c r="B38" s="2">
        <v>13</v>
      </c>
      <c r="C38" s="3">
        <f>1/29</f>
        <v>3.4482758620689655E-2</v>
      </c>
      <c r="D38">
        <v>30</v>
      </c>
      <c r="E38" s="4">
        <v>3</v>
      </c>
      <c r="F38" s="3">
        <v>8.8999999999999996E-2</v>
      </c>
    </row>
    <row r="39" spans="1:6" hidden="1" x14ac:dyDescent="0.2">
      <c r="A39" t="s">
        <v>2</v>
      </c>
      <c r="B39" s="2">
        <v>13</v>
      </c>
      <c r="C39" s="3">
        <v>0.01</v>
      </c>
      <c r="D39">
        <v>21</v>
      </c>
      <c r="F39" s="3">
        <v>5.1999999999999998E-2</v>
      </c>
    </row>
    <row r="40" spans="1:6" hidden="1" x14ac:dyDescent="0.2">
      <c r="A40" t="s">
        <v>3</v>
      </c>
      <c r="B40" s="2">
        <v>13</v>
      </c>
      <c r="C40" s="3">
        <v>0</v>
      </c>
      <c r="D40">
        <v>4</v>
      </c>
      <c r="E40" s="4">
        <v>2.84</v>
      </c>
      <c r="F40" s="3">
        <v>0.04</v>
      </c>
    </row>
    <row r="41" spans="1:6" x14ac:dyDescent="0.2">
      <c r="A41" t="s">
        <v>1</v>
      </c>
      <c r="B41" s="2">
        <v>14</v>
      </c>
      <c r="C41" s="3">
        <f>1.5/31</f>
        <v>4.8387096774193547E-2</v>
      </c>
      <c r="D41">
        <v>9</v>
      </c>
      <c r="E41" s="4">
        <v>3.2</v>
      </c>
      <c r="F41" s="3">
        <v>0.04</v>
      </c>
    </row>
    <row r="42" spans="1:6" hidden="1" x14ac:dyDescent="0.2">
      <c r="A42" t="s">
        <v>2</v>
      </c>
      <c r="B42" s="2">
        <v>14</v>
      </c>
      <c r="C42" s="3">
        <v>3.4000000000000002E-2</v>
      </c>
      <c r="D42">
        <v>20</v>
      </c>
      <c r="F42" s="3">
        <v>9.6000000000000002E-2</v>
      </c>
    </row>
    <row r="43" spans="1:6" hidden="1" x14ac:dyDescent="0.2">
      <c r="A43" t="s">
        <v>3</v>
      </c>
      <c r="B43" s="2">
        <v>14</v>
      </c>
      <c r="C43" s="3">
        <v>8.5000000000000006E-2</v>
      </c>
      <c r="D43">
        <v>20</v>
      </c>
      <c r="E43" s="4">
        <v>2.82</v>
      </c>
      <c r="F43" s="3">
        <v>8.5999999999999993E-2</v>
      </c>
    </row>
    <row r="44" spans="1:6" x14ac:dyDescent="0.2">
      <c r="A44" t="s">
        <v>1</v>
      </c>
      <c r="B44" s="2">
        <v>15</v>
      </c>
      <c r="C44" s="3">
        <f>0.5/21</f>
        <v>2.3809523809523808E-2</v>
      </c>
      <c r="D44">
        <v>4</v>
      </c>
      <c r="E44" s="4">
        <v>2.89</v>
      </c>
      <c r="F44" s="3">
        <v>7.4999999999999997E-2</v>
      </c>
    </row>
    <row r="45" spans="1:6" hidden="1" x14ac:dyDescent="0.2">
      <c r="A45" t="s">
        <v>2</v>
      </c>
      <c r="B45" s="2">
        <v>15</v>
      </c>
      <c r="C45" s="3">
        <v>8.1000000000000003E-2</v>
      </c>
      <c r="D45">
        <v>9</v>
      </c>
      <c r="F45" s="3">
        <v>7.0999999999999994E-2</v>
      </c>
    </row>
    <row r="46" spans="1:6" hidden="1" x14ac:dyDescent="0.2">
      <c r="A46" t="s">
        <v>3</v>
      </c>
      <c r="B46" s="2">
        <v>15</v>
      </c>
      <c r="C46" s="3">
        <v>2.9000000000000001E-2</v>
      </c>
      <c r="D46">
        <v>17</v>
      </c>
      <c r="E46" s="4">
        <v>2.62</v>
      </c>
      <c r="F46" s="3">
        <v>8.5000000000000006E-2</v>
      </c>
    </row>
    <row r="47" spans="1:6" x14ac:dyDescent="0.2">
      <c r="A47" t="s">
        <v>1</v>
      </c>
      <c r="B47" s="2">
        <v>16</v>
      </c>
      <c r="C47" s="3">
        <v>0</v>
      </c>
      <c r="D47">
        <v>15</v>
      </c>
      <c r="E47" s="4">
        <v>2.59</v>
      </c>
      <c r="F47" s="3">
        <v>5.2999999999999999E-2</v>
      </c>
    </row>
    <row r="48" spans="1:6" hidden="1" x14ac:dyDescent="0.2">
      <c r="A48" t="s">
        <v>2</v>
      </c>
      <c r="B48" s="2">
        <v>16</v>
      </c>
      <c r="C48" s="3">
        <v>3.2000000000000001E-2</v>
      </c>
      <c r="D48">
        <v>5</v>
      </c>
      <c r="F48" s="3">
        <v>4.1000000000000002E-2</v>
      </c>
    </row>
    <row r="49" spans="1:17" x14ac:dyDescent="0.2">
      <c r="A49" t="s">
        <v>1</v>
      </c>
      <c r="B49" s="2">
        <v>17</v>
      </c>
      <c r="C49" s="3">
        <f>1/41</f>
        <v>2.4390243902439025E-2</v>
      </c>
      <c r="D49">
        <v>12</v>
      </c>
      <c r="E49" s="4">
        <v>2.8</v>
      </c>
      <c r="F49" s="3">
        <v>5.2999999999999999E-2</v>
      </c>
    </row>
    <row r="50" spans="1:17" x14ac:dyDescent="0.2">
      <c r="B50" s="2"/>
    </row>
    <row r="52" spans="1:17" x14ac:dyDescent="0.2">
      <c r="A52" s="1"/>
      <c r="B52" s="1"/>
      <c r="C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60" spans="1:17" x14ac:dyDescent="0.2">
      <c r="B60" s="6"/>
    </row>
    <row r="61" spans="1:17" x14ac:dyDescent="0.2">
      <c r="B61" s="5"/>
    </row>
    <row r="62" spans="1:17" x14ac:dyDescent="0.2">
      <c r="B6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Burk, Bradley</dc:creator>
  <cp:lastModifiedBy>Burk, Bradley</cp:lastModifiedBy>
  <dcterms:created xsi:type="dcterms:W3CDTF">2026-02-11T15:07:42Z</dcterms:created>
  <dcterms:modified xsi:type="dcterms:W3CDTF">2026-03-18T01:54:01Z</dcterms:modified>
</cp:coreProperties>
</file>